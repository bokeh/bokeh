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01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cclements/code/python/bokeh_talk/pnl/"/>
    </mc:Choice>
  </mc:AlternateContent>
  <bookViews>
    <workbookView xWindow="0" yWindow="460" windowWidth="28800" windowHeight="17460" tabRatio="500" activeTab="3"/>
  </bookViews>
  <sheets>
    <sheet name="horizontal" sheetId="1" r:id="rId1"/>
    <sheet name="vertical" sheetId="2" r:id="rId2"/>
    <sheet name="picture" sheetId="3" r:id="rId3"/>
    <sheet name="data" sheetId="4" r:id="rId4"/>
    <sheet name="formulae" sheetId="5" r:id="rId5"/>
  </sheets>
  <calcPr calcId="150000" iterate="1" iterateCount="1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" i="4" l="1"/>
  <c r="I7" i="4"/>
  <c r="B6" i="5"/>
  <c r="B5" i="5"/>
  <c r="B4" i="5"/>
  <c r="B3" i="5"/>
  <c r="B2" i="5"/>
  <c r="D6" i="4"/>
  <c r="D5" i="4"/>
  <c r="D3" i="4"/>
  <c r="D2" i="4"/>
  <c r="D4" i="4"/>
  <c r="F2" i="4"/>
  <c r="B2" i="4"/>
  <c r="G2" i="4"/>
  <c r="B3" i="4"/>
  <c r="F3" i="4"/>
  <c r="G3" i="4"/>
  <c r="B4" i="4"/>
  <c r="F4" i="4"/>
  <c r="G4" i="4"/>
  <c r="B5" i="4"/>
  <c r="F5" i="4"/>
  <c r="G5" i="4"/>
  <c r="B6" i="4"/>
  <c r="F6" i="4"/>
  <c r="G6" i="4"/>
  <c r="G7" i="4"/>
  <c r="F14" i="2"/>
  <c r="E14" i="2"/>
  <c r="E28" i="2"/>
  <c r="C28" i="2"/>
  <c r="F28" i="2"/>
  <c r="G28" i="2"/>
  <c r="H28" i="2"/>
  <c r="E29" i="2"/>
  <c r="C29" i="2"/>
  <c r="F29" i="2"/>
  <c r="G29" i="2"/>
  <c r="H29" i="2"/>
  <c r="E30" i="2"/>
  <c r="C30" i="2"/>
  <c r="F30" i="2"/>
  <c r="G30" i="2"/>
  <c r="H30" i="2"/>
  <c r="E31" i="2"/>
  <c r="C31" i="2"/>
  <c r="F31" i="2"/>
  <c r="G31" i="2"/>
  <c r="H31" i="2"/>
  <c r="E32" i="2"/>
  <c r="C32" i="2"/>
  <c r="F32" i="2"/>
  <c r="G32" i="2"/>
  <c r="H32" i="2"/>
  <c r="H33" i="2"/>
  <c r="J9" i="1"/>
  <c r="K9" i="1"/>
  <c r="F8" i="1"/>
  <c r="F7" i="1"/>
  <c r="F6" i="1"/>
  <c r="F5" i="1"/>
  <c r="F4" i="1"/>
  <c r="G4" i="1"/>
  <c r="H4" i="1"/>
  <c r="G5" i="1"/>
  <c r="H5" i="1"/>
  <c r="G6" i="1"/>
  <c r="H6" i="1"/>
  <c r="G7" i="1"/>
  <c r="H7" i="1"/>
  <c r="G8" i="1"/>
  <c r="H8" i="1"/>
  <c r="H9" i="1"/>
  <c r="C8" i="1"/>
  <c r="C7" i="1"/>
  <c r="C6" i="1"/>
  <c r="C5" i="1"/>
  <c r="C4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<sst xmlns="http://schemas.openxmlformats.org/spreadsheetml/2006/main" count="28" uniqueCount="12">
  <si>
    <t>Maturity</t>
  </si>
  <si>
    <t>Duration</t>
  </si>
  <si>
    <t>Position</t>
  </si>
  <si>
    <t>Close</t>
  </si>
  <si>
    <t>Current</t>
  </si>
  <si>
    <t>PNL</t>
  </si>
  <si>
    <t>Rate Chg</t>
  </si>
  <si>
    <t>Level</t>
  </si>
  <si>
    <t>Slope</t>
  </si>
  <si>
    <t>Live</t>
  </si>
  <si>
    <t>Change</t>
  </si>
  <si>
    <t>For Live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</si>
</sst>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5" formatCode="0.000%"/>
    <numFmt numFmtId="168" formatCode="#,##0_ ;[Red]\-#,##0\ 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2" xfId="0" applyBorder="1"/>
    <xf numFmtId="0" fontId="0" fillId="0" borderId="0" xfId="0" applyBorder="1"/>
    <xf numFmtId="165" fontId="0" fillId="0" borderId="0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168" fontId="0" fillId="0" borderId="0" xfId="1" applyNumberFormat="1" applyFont="1" applyBorder="1"/>
    <xf numFmtId="168" fontId="0" fillId="0" borderId="5" xfId="1" applyNumberFormat="1" applyFont="1" applyBorder="1"/>
    <xf numFmtId="165" fontId="0" fillId="0" borderId="0" xfId="2" applyNumberFormat="1" applyFont="1" applyBorder="1"/>
    <xf numFmtId="165" fontId="0" fillId="0" borderId="3" xfId="0" applyNumberFormat="1" applyBorder="1"/>
    <xf numFmtId="168" fontId="0" fillId="0" borderId="3" xfId="1" applyNumberFormat="1" applyFont="1" applyBorder="1"/>
    <xf numFmtId="165" fontId="0" fillId="0" borderId="5" xfId="2" applyNumberFormat="1" applyFont="1" applyBorder="1"/>
    <xf numFmtId="165" fontId="0" fillId="0" borderId="6" xfId="0" applyNumberFormat="1" applyBorder="1"/>
    <xf numFmtId="168" fontId="0" fillId="0" borderId="6" xfId="1" applyNumberFormat="1" applyFont="1" applyBorder="1"/>
    <xf numFmtId="168" fontId="2" fillId="0" borderId="0" xfId="1" applyNumberFormat="1" applyFont="1" applyBorder="1"/>
    <xf numFmtId="0" fontId="0" fillId="0" borderId="7" xfId="0" applyBorder="1"/>
    <xf numFmtId="0" fontId="0" fillId="0" borderId="9" xfId="0" applyBorder="1"/>
    <xf numFmtId="168" fontId="2" fillId="0" borderId="1" xfId="1" applyNumberFormat="1" applyFont="1" applyBorder="1"/>
    <xf numFmtId="0" fontId="5" fillId="0" borderId="0" xfId="0" applyFont="1"/>
    <xf numFmtId="168" fontId="6" fillId="0" borderId="3" xfId="1" applyNumberFormat="1" applyFont="1" applyBorder="1"/>
  </cellXfs>
  <cellStyles count="5">
    <cellStyle name="Comma" xfId="1" builtinId="3"/>
    <cellStyle name="Followed Hyperlink" xfId="4" builtinId="9" hidden="1"/>
    <cellStyle name="Hyperlink" xfId="3" builtinId="8" hidden="1"/>
    <cellStyle name="Normal" xfId="0" builtinId="0"/>
    <cellStyle name="Percent" xfId="2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horizontal!$E$3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horizontal!$B$4:$B$8</c:f>
              <c:numCache>
                <c:formatCode>General</c:formatCode>
                <c:ptCount val="5"/>
                <c:pt idx="0">
                  <c:v>1.0</c:v>
                </c:pt>
                <c:pt idx="1">
                  <c:v>2.0</c:v>
                </c:pt>
                <c:pt idx="2">
                  <c:v>5.0</c:v>
                </c:pt>
                <c:pt idx="3">
                  <c:v>10.0</c:v>
                </c:pt>
                <c:pt idx="4">
                  <c:v>30.0</c:v>
                </c:pt>
              </c:numCache>
            </c:numRef>
          </c:xVal>
          <c:yVal>
            <c:numRef>
              <c:f>horizontal!$E$4:$E$8</c:f>
              <c:numCache>
                <c:formatCode>0.000%</c:formatCode>
                <c:ptCount val="5"/>
                <c:pt idx="0">
                  <c:v>0.01</c:v>
                </c:pt>
                <c:pt idx="1">
                  <c:v>0.0130102999566398</c:v>
                </c:pt>
                <c:pt idx="2">
                  <c:v>0.0169897000433602</c:v>
                </c:pt>
                <c:pt idx="3">
                  <c:v>0.02</c:v>
                </c:pt>
                <c:pt idx="4">
                  <c:v>0.0247712125471966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horizontal!$F$3</c:f>
              <c:strCache>
                <c:ptCount val="1"/>
                <c:pt idx="0">
                  <c:v>Current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4"/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22225">
                <a:solidFill>
                  <a:schemeClr val="lt1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 prstMaterial="dkEdge"/>
            </c:spPr>
          </c:marker>
          <c:xVal>
            <c:numRef>
              <c:f>horizontal!$B$4:$B$8</c:f>
              <c:numCache>
                <c:formatCode>General</c:formatCode>
                <c:ptCount val="5"/>
                <c:pt idx="0">
                  <c:v>1.0</c:v>
                </c:pt>
                <c:pt idx="1">
                  <c:v>2.0</c:v>
                </c:pt>
                <c:pt idx="2">
                  <c:v>5.0</c:v>
                </c:pt>
                <c:pt idx="3">
                  <c:v>10.0</c:v>
                </c:pt>
                <c:pt idx="4">
                  <c:v>30.0</c:v>
                </c:pt>
              </c:numCache>
            </c:numRef>
          </c:xVal>
          <c:yVal>
            <c:numRef>
              <c:f>horizontal!$F$4:$F$8</c:f>
              <c:numCache>
                <c:formatCode>0.000%</c:formatCode>
                <c:ptCount val="5"/>
                <c:pt idx="0">
                  <c:v>0.0109987258090163</c:v>
                </c:pt>
                <c:pt idx="1">
                  <c:v>0.0137593443134021</c:v>
                </c:pt>
                <c:pt idx="2">
                  <c:v>0.017667778028319</c:v>
                </c:pt>
                <c:pt idx="3">
                  <c:v>0.0205584846264084</c:v>
                </c:pt>
                <c:pt idx="4">
                  <c:v>0.0252245467668421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652016"/>
        <c:axId val="-2112900928"/>
      </c:scatterChart>
      <c:valAx>
        <c:axId val="-212265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 (yr)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2900928"/>
        <c:crosses val="autoZero"/>
        <c:crossBetween val="midCat"/>
      </c:valAx>
      <c:valAx>
        <c:axId val="-211290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 Rate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265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34857662023"/>
          <c:y val="0.0513833992094862"/>
          <c:w val="0.7588158691702"/>
          <c:h val="0.768050169618126"/>
        </c:manualLayout>
      </c:layout>
      <c:scatterChart>
        <c:scatterStyle val="lineMarker"/>
        <c:varyColors val="0"/>
        <c:ser>
          <c:idx val="2"/>
          <c:order val="0"/>
          <c:tx>
            <c:strRef>
              <c:f>vertical!$E$27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vertical!$B$28:$B$32</c:f>
              <c:numCache>
                <c:formatCode>General</c:formatCode>
                <c:ptCount val="5"/>
                <c:pt idx="0">
                  <c:v>1.0</c:v>
                </c:pt>
                <c:pt idx="1">
                  <c:v>2.0</c:v>
                </c:pt>
                <c:pt idx="2">
                  <c:v>5.0</c:v>
                </c:pt>
                <c:pt idx="3">
                  <c:v>10.0</c:v>
                </c:pt>
                <c:pt idx="4">
                  <c:v>30.0</c:v>
                </c:pt>
              </c:numCache>
            </c:numRef>
          </c:xVal>
          <c:yVal>
            <c:numRef>
              <c:f>vertical!$E$28:$E$32</c:f>
              <c:numCache>
                <c:formatCode>0.000%</c:formatCode>
                <c:ptCount val="5"/>
                <c:pt idx="0">
                  <c:v>0.01</c:v>
                </c:pt>
                <c:pt idx="1">
                  <c:v>0.0130102999566398</c:v>
                </c:pt>
                <c:pt idx="2">
                  <c:v>0.0169897000433602</c:v>
                </c:pt>
                <c:pt idx="3">
                  <c:v>0.02</c:v>
                </c:pt>
                <c:pt idx="4">
                  <c:v>0.0247712125471966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vertical!$F$27</c:f>
              <c:strCache>
                <c:ptCount val="1"/>
                <c:pt idx="0">
                  <c:v>Current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4"/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22225">
                <a:solidFill>
                  <a:schemeClr val="lt1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 prstMaterial="dkEdge"/>
            </c:spPr>
          </c:marker>
          <c:xVal>
            <c:numRef>
              <c:f>vertical!$B$28:$B$32</c:f>
              <c:numCache>
                <c:formatCode>General</c:formatCode>
                <c:ptCount val="5"/>
                <c:pt idx="0">
                  <c:v>1.0</c:v>
                </c:pt>
                <c:pt idx="1">
                  <c:v>2.0</c:v>
                </c:pt>
                <c:pt idx="2">
                  <c:v>5.0</c:v>
                </c:pt>
                <c:pt idx="3">
                  <c:v>10.0</c:v>
                </c:pt>
                <c:pt idx="4">
                  <c:v>30.0</c:v>
                </c:pt>
              </c:numCache>
            </c:numRef>
          </c:xVal>
          <c:yVal>
            <c:numRef>
              <c:f>vertical!$F$28:$F$32</c:f>
              <c:numCache>
                <c:formatCode>0.000%</c:formatCode>
                <c:ptCount val="5"/>
                <c:pt idx="0">
                  <c:v>0.009149796358215</c:v>
                </c:pt>
                <c:pt idx="1">
                  <c:v>0.0123726472253011</c:v>
                </c:pt>
                <c:pt idx="2">
                  <c:v>0.0163781246593021</c:v>
                </c:pt>
                <c:pt idx="3">
                  <c:v>0.0194172701151077</c:v>
                </c:pt>
                <c:pt idx="4">
                  <c:v>0.0241063184882616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812304"/>
        <c:axId val="-2061274592"/>
      </c:scatterChart>
      <c:valAx>
        <c:axId val="-2111812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 (yr)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1274592"/>
        <c:crosses val="autoZero"/>
        <c:crossBetween val="midCat"/>
      </c:valAx>
      <c:valAx>
        <c:axId val="-206127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 Rate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181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8215727841712"/>
          <c:y val="0.437252497587999"/>
          <c:w val="0.128279998654014"/>
          <c:h val="0.220356664903053"/>
        </c:manualLayout>
      </c:layout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vertical!$H$27</c:f>
              <c:strCache>
                <c:ptCount val="1"/>
                <c:pt idx="0">
                  <c:v>PNL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vertical!$B$28:$B$32</c:f>
              <c:numCache>
                <c:formatCode>General</c:formatCode>
                <c:ptCount val="5"/>
                <c:pt idx="0">
                  <c:v>1.0</c:v>
                </c:pt>
                <c:pt idx="1">
                  <c:v>2.0</c:v>
                </c:pt>
                <c:pt idx="2">
                  <c:v>5.0</c:v>
                </c:pt>
                <c:pt idx="3">
                  <c:v>10.0</c:v>
                </c:pt>
                <c:pt idx="4">
                  <c:v>30.0</c:v>
                </c:pt>
              </c:numCache>
            </c:numRef>
          </c:cat>
          <c:val>
            <c:numRef>
              <c:f>vertical!$H$28:$H$32</c:f>
              <c:numCache>
                <c:formatCode>#,##0_ ;[Red]\-#,##0\ </c:formatCode>
                <c:ptCount val="5"/>
                <c:pt idx="0">
                  <c:v>-12626.15961303256</c:v>
                </c:pt>
                <c:pt idx="1">
                  <c:v>25214.3678495024</c:v>
                </c:pt>
                <c:pt idx="2">
                  <c:v>-14617.53965866116</c:v>
                </c:pt>
                <c:pt idx="3">
                  <c:v>-39520.94686046071</c:v>
                </c:pt>
                <c:pt idx="4">
                  <c:v>35287.52484763968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-2057438816"/>
        <c:axId val="-2056356992"/>
      </c:barChart>
      <c:catAx>
        <c:axId val="-205743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356992"/>
        <c:crosses val="autoZero"/>
        <c:auto val="1"/>
        <c:lblAlgn val="ctr"/>
        <c:lblOffset val="100"/>
        <c:noMultiLvlLbl val="0"/>
      </c:catAx>
      <c:valAx>
        <c:axId val="-2056356992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743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787400</xdr:colOff>
      <xdr:row>2</xdr:row>
      <xdr:rowOff>0</xdr:rowOff>
    </xdr:from>
    <xdr:to>
      <xdr:col>14</xdr:col>
      <xdr:colOff>406400</xdr:colOff>
      <xdr:row>15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812800</xdr:colOff>
      <xdr:row>2</xdr:row>
      <xdr:rowOff>25400</xdr:rowOff>
    </xdr:from>
    <xdr:to>
      <xdr:col>7</xdr:col>
      <xdr:colOff>812800</xdr:colOff>
      <xdr:row>17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823383</xdr:colOff>
      <xdr:row>18</xdr:row>
      <xdr:rowOff>84666</xdr:rowOff>
    </xdr:from>
    <xdr:to>
      <xdr:col>8</xdr:col>
      <xdr:colOff>0</xdr:colOff>
      <xdr:row>24</xdr:row>
      <xdr:rowOff>203199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787400</xdr:colOff>
      <xdr:row>1</xdr:row>
      <xdr:rowOff>139700</xdr:rowOff>
    </xdr:from>
    <xdr:to>
      <xdr:col>9</xdr:col>
      <xdr:colOff>165100</xdr:colOff>
      <xdr:row>33</xdr:row>
      <xdr:rowOff>50800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342900"/>
          <a:ext cx="5981700" cy="641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3:K9"/>
  <sheetViews>
    <sheetView workbookViewId="0">
      <selection activeCell="D32" sqref="D32"/>
    </sheetView>
  </sheetViews>
  <sheetFormatPr baseColWidth="10" defaultRowHeight="16" x14ac:dyDescent="0.2"/>
  <cols>
    <col min="4" max="4" width="13" bestFit="1" customWidth="1"/>
  </cols>
  <sheetData>
    <row r="3" spans="2:11" x14ac:dyDescent="0.2">
      <c r="B3" s="8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0" t="s">
        <v>6</v>
      </c>
      <c r="H3" s="10" t="s">
        <v>5</v>
      </c>
      <c r="J3" s="20" t="s">
        <v>7</v>
      </c>
      <c r="K3" s="21" t="s">
        <v>8</v>
      </c>
    </row>
    <row r="4" spans="2:11" x14ac:dyDescent="0.2">
      <c r="B4" s="1">
        <v>1</v>
      </c>
      <c r="C4" s="2">
        <f>EXP(-1*E4)</f>
        <v>0.99004983374916811</v>
      </c>
      <c r="D4" s="11">
        <v>15000000</v>
      </c>
      <c r="E4" s="3">
        <f>(1+LOG(B4))/100</f>
        <v>0.01</v>
      </c>
      <c r="F4" s="13">
        <f ca="1">E4+(J4*$J$9+K4*$K$9)/500</f>
        <v>1.0998725809016346E-2</v>
      </c>
      <c r="G4" s="14">
        <f ca="1">F4-E4</f>
        <v>9.9872580901634589E-4</v>
      </c>
      <c r="H4" s="15">
        <f ca="1">C4*D4*G4</f>
        <v>14831.82481766455</v>
      </c>
      <c r="J4" s="1">
        <v>1</v>
      </c>
      <c r="K4" s="4">
        <v>-0.5</v>
      </c>
    </row>
    <row r="5" spans="2:11" x14ac:dyDescent="0.2">
      <c r="B5" s="1">
        <v>2</v>
      </c>
      <c r="C5" s="2">
        <f>EXP(-1*E5)+C4</f>
        <v>1.9771238018980244</v>
      </c>
      <c r="D5" s="11">
        <v>-20000000</v>
      </c>
      <c r="E5" s="3">
        <f t="shared" ref="E5:E8" si="0">(1+LOG(B5))/100</f>
        <v>1.3010299956639812E-2</v>
      </c>
      <c r="F5" s="13">
        <f t="shared" ref="F5:F8" ca="1" si="1">E5+(J5*$J$9+K5*$K$9)/500</f>
        <v>1.3759344313402071E-2</v>
      </c>
      <c r="G5" s="14">
        <f ca="1">F5-E5</f>
        <v>7.4904435676225942E-4</v>
      </c>
      <c r="H5" s="15">
        <f t="shared" ref="H5:H8" ca="1" si="2">C5*D5*G5</f>
        <v>-29619.068528641168</v>
      </c>
      <c r="J5" s="1">
        <v>0.75</v>
      </c>
      <c r="K5" s="4">
        <v>-0.375</v>
      </c>
    </row>
    <row r="6" spans="2:11" x14ac:dyDescent="0.2">
      <c r="B6" s="1">
        <v>5</v>
      </c>
      <c r="C6" s="2">
        <f>C5+EXP(-3*E6)+EXP(-4*E6)+EXP(-5*E6)</f>
        <v>4.780290390914085</v>
      </c>
      <c r="D6" s="11">
        <v>5000000</v>
      </c>
      <c r="E6" s="3">
        <f t="shared" si="0"/>
        <v>1.6989700043360187E-2</v>
      </c>
      <c r="F6" s="13">
        <f t="shared" ca="1" si="1"/>
        <v>1.7667778028319051E-2</v>
      </c>
      <c r="G6" s="14">
        <f t="shared" ref="G6:G8" ca="1" si="3">F6-E6</f>
        <v>6.7807798495886362E-4</v>
      </c>
      <c r="H6" s="15">
        <f t="shared" ca="1" si="2"/>
        <v>16207.048378946205</v>
      </c>
      <c r="J6" s="1">
        <v>0.66</v>
      </c>
      <c r="K6" s="4">
        <v>-0.25</v>
      </c>
    </row>
    <row r="7" spans="2:11" x14ac:dyDescent="0.2">
      <c r="B7" s="1">
        <v>10</v>
      </c>
      <c r="C7" s="2">
        <f>C6+EXP(-6*E7)+EXP(-7*E7)+EXP(-8*E7)+EXP(-9*E7)+EXP(-10*E7)</f>
        <v>9.0427138164855148</v>
      </c>
      <c r="D7" s="11">
        <v>7500000</v>
      </c>
      <c r="E7" s="3">
        <f t="shared" si="0"/>
        <v>0.02</v>
      </c>
      <c r="F7" s="13">
        <f t="shared" ca="1" si="1"/>
        <v>2.0558484626408413E-2</v>
      </c>
      <c r="G7" s="14">
        <f t="shared" ca="1" si="3"/>
        <v>5.584846264084127E-4</v>
      </c>
      <c r="H7" s="15">
        <f t="shared" ca="1" si="2"/>
        <v>37876.624856385781</v>
      </c>
      <c r="J7" s="1">
        <v>0.5</v>
      </c>
      <c r="K7" s="4">
        <v>0</v>
      </c>
    </row>
    <row r="8" spans="2:11" x14ac:dyDescent="0.2">
      <c r="B8" s="5">
        <v>30</v>
      </c>
      <c r="C8" s="6">
        <f>C7+20*EXP(-20*E8)</f>
        <v>21.228960838760024</v>
      </c>
      <c r="D8" s="12">
        <v>-10000000</v>
      </c>
      <c r="E8" s="7">
        <f t="shared" si="0"/>
        <v>2.4771212547196626E-2</v>
      </c>
      <c r="F8" s="16">
        <f t="shared" ca="1" si="1"/>
        <v>2.5224546766842149E-2</v>
      </c>
      <c r="G8" s="17">
        <f t="shared" ca="1" si="3"/>
        <v>4.5333421964552367E-4</v>
      </c>
      <c r="H8" s="18">
        <f t="shared" ca="1" si="2"/>
        <v>-96238.143957246575</v>
      </c>
      <c r="J8" s="1">
        <v>0.3</v>
      </c>
      <c r="K8" s="4">
        <v>0.5</v>
      </c>
    </row>
    <row r="9" spans="2:11" x14ac:dyDescent="0.2">
      <c r="H9" s="19">
        <f ca="1">SUM(H4:H8)</f>
        <v>-56941.714432891211</v>
      </c>
      <c r="J9" s="20">
        <f ca="1">2*(RAND()-0.5)</f>
        <v>0.55848462640841112</v>
      </c>
      <c r="K9" s="21">
        <f ca="1">2*(RAND()-0.5)</f>
        <v>0.11824344380047647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121"/>
  <sheetViews>
    <sheetView workbookViewId="0">
      <selection activeCell="J13" sqref="J13"/>
    </sheetView>
  </sheetViews>
  <sheetFormatPr baseColWidth="10" defaultRowHeight="16" x14ac:dyDescent="0.2"/>
  <cols>
    <col min="4" max="4" width="13" bestFit="1" customWidth="1"/>
  </cols>
  <sheetData>
    <row r="1" spans="1:13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">
      <c r="A8" s="2"/>
      <c r="B8" s="2"/>
      <c r="C8" s="2"/>
      <c r="D8" s="2"/>
      <c r="E8" s="2" t="s">
        <v>7</v>
      </c>
      <c r="F8" s="2" t="s">
        <v>8</v>
      </c>
      <c r="G8" s="2"/>
      <c r="H8" s="2"/>
      <c r="I8" s="2"/>
      <c r="J8" s="2"/>
      <c r="K8" s="2"/>
      <c r="L8" s="2"/>
      <c r="M8" s="2"/>
    </row>
    <row r="9" spans="1:13" x14ac:dyDescent="0.2">
      <c r="A9" s="2"/>
      <c r="B9" s="2"/>
      <c r="C9" s="2"/>
      <c r="D9" s="2"/>
      <c r="E9" s="2">
        <v>1</v>
      </c>
      <c r="F9" s="2">
        <v>-0.5</v>
      </c>
      <c r="G9" s="2"/>
      <c r="H9" s="2"/>
      <c r="I9" s="2"/>
      <c r="J9" s="2"/>
      <c r="K9" s="2"/>
      <c r="L9" s="2"/>
      <c r="M9" s="2"/>
    </row>
    <row r="10" spans="1:13" x14ac:dyDescent="0.2">
      <c r="A10" s="2"/>
      <c r="B10" s="2"/>
      <c r="C10" s="2"/>
      <c r="D10" s="2"/>
      <c r="E10" s="2">
        <v>0.75</v>
      </c>
      <c r="F10" s="2">
        <v>-0.375</v>
      </c>
      <c r="G10" s="2"/>
      <c r="H10" s="2"/>
      <c r="I10" s="2"/>
      <c r="J10" s="2"/>
      <c r="K10" s="2"/>
      <c r="L10" s="2"/>
      <c r="M10" s="2"/>
    </row>
    <row r="11" spans="1:13" x14ac:dyDescent="0.2">
      <c r="A11" s="2"/>
      <c r="B11" s="2"/>
      <c r="C11" s="2"/>
      <c r="D11" s="2"/>
      <c r="E11" s="2">
        <v>0.66</v>
      </c>
      <c r="F11" s="2">
        <v>-0.25</v>
      </c>
      <c r="G11" s="2"/>
      <c r="H11" s="2"/>
      <c r="I11" s="2"/>
      <c r="J11" s="2"/>
      <c r="K11" s="2"/>
      <c r="L11" s="2"/>
      <c r="M11" s="2"/>
    </row>
    <row r="12" spans="1:13" x14ac:dyDescent="0.2">
      <c r="A12" s="2"/>
      <c r="B12" s="2"/>
      <c r="C12" s="2"/>
      <c r="D12" s="2"/>
      <c r="E12" s="2">
        <v>0.5</v>
      </c>
      <c r="F12" s="2">
        <v>0</v>
      </c>
      <c r="G12" s="2"/>
      <c r="H12" s="2"/>
      <c r="I12" s="2"/>
      <c r="J12" s="2"/>
      <c r="K12" s="2"/>
      <c r="L12" s="2"/>
      <c r="M12" s="2"/>
    </row>
    <row r="13" spans="1:13" x14ac:dyDescent="0.2">
      <c r="A13" s="2"/>
      <c r="B13" s="2"/>
      <c r="C13" s="2"/>
      <c r="D13" s="2"/>
      <c r="E13" s="2">
        <v>0.3</v>
      </c>
      <c r="F13" s="2">
        <v>0.5</v>
      </c>
      <c r="G13" s="2"/>
      <c r="H13" s="2"/>
      <c r="I13" s="2"/>
      <c r="J13" s="2"/>
      <c r="K13" s="2"/>
      <c r="L13" s="2"/>
      <c r="M13" s="2"/>
    </row>
    <row r="14" spans="1:13" x14ac:dyDescent="0.2">
      <c r="A14" s="2"/>
      <c r="B14" s="2"/>
      <c r="C14" s="2"/>
      <c r="D14" s="2"/>
      <c r="E14" s="2">
        <f ca="1">2*(RAND()-0.5)</f>
        <v>-0.58272988489231525</v>
      </c>
      <c r="F14" s="2">
        <f ca="1">2*(RAND()-0.5)</f>
        <v>-0.31525612799963598</v>
      </c>
      <c r="G14" s="2"/>
      <c r="H14" s="2"/>
      <c r="I14" s="2"/>
      <c r="J14" s="2"/>
      <c r="K14" s="2"/>
      <c r="L14" s="2"/>
      <c r="M14" s="2"/>
    </row>
    <row r="15" spans="1:13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">
      <c r="A27" s="2"/>
      <c r="B27" s="8" t="s">
        <v>0</v>
      </c>
      <c r="C27" s="9" t="s">
        <v>1</v>
      </c>
      <c r="D27" s="9" t="s">
        <v>2</v>
      </c>
      <c r="E27" s="9" t="s">
        <v>3</v>
      </c>
      <c r="F27" s="9" t="s">
        <v>4</v>
      </c>
      <c r="G27" s="9" t="s">
        <v>6</v>
      </c>
      <c r="H27" s="10" t="s">
        <v>5</v>
      </c>
      <c r="I27" s="2"/>
      <c r="J27" s="2"/>
      <c r="K27" s="2"/>
      <c r="L27" s="2"/>
      <c r="M27" s="2"/>
    </row>
    <row r="28" spans="1:13" x14ac:dyDescent="0.2">
      <c r="A28" s="2"/>
      <c r="B28" s="1">
        <v>1</v>
      </c>
      <c r="C28" s="2">
        <f>EXP(-1*E28)</f>
        <v>0.99004983374916811</v>
      </c>
      <c r="D28" s="11">
        <v>15000000</v>
      </c>
      <c r="E28" s="3">
        <f>(1+LOG(B28))/100</f>
        <v>0.01</v>
      </c>
      <c r="F28" s="13">
        <f ca="1">E28+(E9*$E$14+F9*$F$14)/500</f>
        <v>9.1497963582150062E-3</v>
      </c>
      <c r="G28" s="3">
        <f ca="1">F28-E28</f>
        <v>-8.5020364178499397E-4</v>
      </c>
      <c r="H28" s="15">
        <f ca="1">C28*D28*G28</f>
        <v>-12626.159613032558</v>
      </c>
      <c r="I28" s="2"/>
      <c r="J28" s="2"/>
      <c r="K28" s="2"/>
      <c r="L28" s="2"/>
      <c r="M28" s="2"/>
    </row>
    <row r="29" spans="1:13" x14ac:dyDescent="0.2">
      <c r="A29" s="2"/>
      <c r="B29" s="1">
        <v>2</v>
      </c>
      <c r="C29" s="2">
        <f>EXP(-1*E29)+C28</f>
        <v>1.9771238018980244</v>
      </c>
      <c r="D29" s="11">
        <v>-20000000</v>
      </c>
      <c r="E29" s="3">
        <f t="shared" ref="E29:E32" si="0">(1+LOG(B29))/100</f>
        <v>1.3010299956639812E-2</v>
      </c>
      <c r="F29" s="13">
        <f ca="1">E29+(E10*$E$14+F10*$F$14)/500</f>
        <v>1.2372647225301067E-2</v>
      </c>
      <c r="G29" s="3">
        <f ca="1">F29-E29</f>
        <v>-6.3765273133874548E-4</v>
      </c>
      <c r="H29" s="15">
        <f t="shared" ref="H29:H32" ca="1" si="1">C29*D29*G29</f>
        <v>25214.367849502396</v>
      </c>
      <c r="I29" s="2"/>
      <c r="J29" s="2"/>
      <c r="K29" s="2"/>
      <c r="L29" s="2"/>
      <c r="M29" s="2"/>
    </row>
    <row r="30" spans="1:13" x14ac:dyDescent="0.2">
      <c r="A30" s="2"/>
      <c r="B30" s="1">
        <v>5</v>
      </c>
      <c r="C30" s="2">
        <f>C29+EXP(-3*E30)+EXP(-4*E30)+EXP(-5*E30)</f>
        <v>4.780290390914085</v>
      </c>
      <c r="D30" s="11">
        <v>5000000</v>
      </c>
      <c r="E30" s="3">
        <f t="shared" si="0"/>
        <v>1.6989700043360187E-2</v>
      </c>
      <c r="F30" s="13">
        <f ca="1">E30+(E11*$E$14+F11*$F$14)/500</f>
        <v>1.6378124659302148E-2</v>
      </c>
      <c r="G30" s="3">
        <f t="shared" ref="G30:G32" ca="1" si="2">F30-E30</f>
        <v>-6.1157538405803846E-4</v>
      </c>
      <c r="H30" s="15">
        <f t="shared" ca="1" si="1"/>
        <v>-14617.539658661161</v>
      </c>
      <c r="I30" s="2"/>
      <c r="J30" s="2"/>
      <c r="K30" s="2"/>
      <c r="L30" s="2"/>
      <c r="M30" s="2"/>
    </row>
    <row r="31" spans="1:13" x14ac:dyDescent="0.2">
      <c r="A31" s="2"/>
      <c r="B31" s="1">
        <v>10</v>
      </c>
      <c r="C31" s="2">
        <f>C30+EXP(-6*E31)+EXP(-7*E31)+EXP(-8*E31)+EXP(-9*E31)+EXP(-10*E31)</f>
        <v>9.0427138164855148</v>
      </c>
      <c r="D31" s="11">
        <v>7500000</v>
      </c>
      <c r="E31" s="3">
        <f t="shared" si="0"/>
        <v>0.02</v>
      </c>
      <c r="F31" s="13">
        <f ca="1">E31+(E12*$E$14+F12*$F$14)/500</f>
        <v>1.9417270115107684E-2</v>
      </c>
      <c r="G31" s="3">
        <f t="shared" ca="1" si="2"/>
        <v>-5.8272988489231625E-4</v>
      </c>
      <c r="H31" s="15">
        <f t="shared" ca="1" si="1"/>
        <v>-39520.94686046071</v>
      </c>
      <c r="I31" s="2"/>
      <c r="J31" s="2"/>
      <c r="K31" s="2"/>
      <c r="L31" s="2"/>
      <c r="M31" s="2"/>
    </row>
    <row r="32" spans="1:13" x14ac:dyDescent="0.2">
      <c r="A32" s="2"/>
      <c r="B32" s="5">
        <v>30</v>
      </c>
      <c r="C32" s="6">
        <f>C31+20*EXP(-20*E32)</f>
        <v>21.228960838760024</v>
      </c>
      <c r="D32" s="12">
        <v>-2500000</v>
      </c>
      <c r="E32" s="7">
        <f t="shared" si="0"/>
        <v>2.4771212547196626E-2</v>
      </c>
      <c r="F32" s="16">
        <f ca="1">E32+(E13*$E$14+F13*$F$14)/500</f>
        <v>2.4106318488261599E-2</v>
      </c>
      <c r="G32" s="7">
        <f t="shared" ca="1" si="2"/>
        <v>-6.6489405893502621E-4</v>
      </c>
      <c r="H32" s="18">
        <f t="shared" ca="1" si="1"/>
        <v>35287.524847639681</v>
      </c>
      <c r="I32" s="2"/>
      <c r="J32" s="2"/>
      <c r="K32" s="2"/>
      <c r="L32" s="2"/>
      <c r="M32" s="2"/>
    </row>
    <row r="33" spans="1:13" x14ac:dyDescent="0.2">
      <c r="A33" s="2"/>
      <c r="B33" s="2"/>
      <c r="C33" s="2"/>
      <c r="D33" s="2"/>
      <c r="E33" s="2"/>
      <c r="F33" s="2"/>
      <c r="G33" s="2"/>
      <c r="H33" s="22">
        <f ca="1">SUM(H28:H32)</f>
        <v>-6262.7534350123533</v>
      </c>
      <c r="I33" s="2"/>
      <c r="J33" s="2"/>
      <c r="K33" s="2"/>
      <c r="L33" s="2"/>
      <c r="M33" s="2"/>
    </row>
    <row r="34" spans="1:13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D10"/>
  <sheetViews>
    <sheetView workbookViewId="0">
      <selection activeCell="B2" sqref="B2"/>
    </sheetView>
  </sheetViews>
  <sheetFormatPr baseColWidth="10" defaultRowHeight="16" x14ac:dyDescent="0.2"/>
  <sheetData>
    <row r="4" spans="3:4" x14ac:dyDescent="0.2">
      <c r="C4" s="23"/>
      <c r="D4" s="23"/>
    </row>
    <row r="5" spans="3:4" x14ac:dyDescent="0.2">
      <c r="C5" s="23"/>
      <c r="D5" s="23"/>
    </row>
    <row r="6" spans="3:4" x14ac:dyDescent="0.2">
      <c r="C6" s="23"/>
      <c r="D6" s="23"/>
    </row>
    <row r="7" spans="3:4" x14ac:dyDescent="0.2">
      <c r="C7" s="23"/>
      <c r="D7" s="23"/>
    </row>
    <row r="8" spans="3:4" x14ac:dyDescent="0.2">
      <c r="C8" s="23"/>
      <c r="D8" s="23"/>
    </row>
    <row r="9" spans="3:4" x14ac:dyDescent="0.2">
      <c r="C9" s="23"/>
      <c r="D9" s="23"/>
    </row>
    <row r="10" spans="3:4" x14ac:dyDescent="0.2">
      <c r="C10" s="23"/>
      <c r="D10" s="2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tabSelected="1" workbookViewId="0">
      <selection activeCell="G14" sqref="G14"/>
    </sheetView>
  </sheetViews>
  <sheetFormatPr baseColWidth="10" defaultRowHeight="16" x14ac:dyDescent="0.2"/>
  <cols>
    <col min="3" max="3" width="11.33203125" bestFit="1" customWidth="1"/>
  </cols>
  <sheetData>
    <row r="1" spans="1:9" x14ac:dyDescent="0.2">
      <c r="A1" s="8" t="s">
        <v>0</v>
      </c>
      <c r="B1" s="9" t="s">
        <v>1</v>
      </c>
      <c r="C1" s="9" t="s">
        <v>2</v>
      </c>
      <c r="D1" s="9" t="s">
        <v>3</v>
      </c>
      <c r="E1" s="9" t="s">
        <v>9</v>
      </c>
      <c r="F1" s="10" t="s">
        <v>10</v>
      </c>
      <c r="G1" s="10" t="s">
        <v>5</v>
      </c>
      <c r="H1" s="20" t="s">
        <v>7</v>
      </c>
      <c r="I1" s="21" t="s">
        <v>8</v>
      </c>
    </row>
    <row r="2" spans="1:9" x14ac:dyDescent="0.2">
      <c r="A2" s="1">
        <v>1</v>
      </c>
      <c r="B2" s="2">
        <f>EXP(-1*D2)</f>
        <v>0.99004983374916811</v>
      </c>
      <c r="C2" s="11">
        <v>15000000</v>
      </c>
      <c r="D2" s="3">
        <f>(1+LOG(A2))/100</f>
        <v>0.01</v>
      </c>
      <c r="E2" s="3">
        <v>1.1000000000000001E-2</v>
      </c>
      <c r="F2" s="14">
        <f>E2-D2</f>
        <v>1.0000000000000009E-3</v>
      </c>
      <c r="G2" s="24">
        <f>B2*C2*F2</f>
        <v>14850.747506237534</v>
      </c>
      <c r="H2" s="1">
        <v>1</v>
      </c>
      <c r="I2" s="4">
        <v>-0.5</v>
      </c>
    </row>
    <row r="3" spans="1:9" x14ac:dyDescent="0.2">
      <c r="A3" s="1">
        <v>2</v>
      </c>
      <c r="B3" s="2">
        <f>EXP(-1*D3)+B2</f>
        <v>1.9771238018980244</v>
      </c>
      <c r="C3" s="11">
        <v>-20000000</v>
      </c>
      <c r="D3" s="3">
        <f t="shared" ref="D3:E6" si="0">(1+LOG(A3))/100</f>
        <v>1.3010299956639812E-2</v>
      </c>
      <c r="E3" s="3">
        <v>1.4311329952303794E-2</v>
      </c>
      <c r="F3" s="14">
        <f>E3-D3</f>
        <v>1.3010299956639822E-3</v>
      </c>
      <c r="G3" s="15">
        <f t="shared" ref="G3:G6" si="1">B3*C3*F3</f>
        <v>-51445.947428210849</v>
      </c>
      <c r="H3" s="1">
        <v>0.75</v>
      </c>
      <c r="I3" s="4">
        <v>-0.375</v>
      </c>
    </row>
    <row r="4" spans="1:9" x14ac:dyDescent="0.2">
      <c r="A4" s="1">
        <v>5</v>
      </c>
      <c r="B4" s="2">
        <f>B3+EXP(-3*D4)+EXP(-4*D4)+EXP(-5*D4)</f>
        <v>4.780290390914085</v>
      </c>
      <c r="C4" s="11">
        <v>5000000</v>
      </c>
      <c r="D4" s="3">
        <f t="shared" si="0"/>
        <v>1.6989700043360187E-2</v>
      </c>
      <c r="E4" s="3">
        <v>1.8688670047696206E-2</v>
      </c>
      <c r="F4" s="14">
        <f t="shared" ref="F4:F6" si="2">E4-D4</f>
        <v>1.6989700043360187E-3</v>
      </c>
      <c r="G4" s="15">
        <f t="shared" si="1"/>
        <v>40607.849930893659</v>
      </c>
      <c r="H4" s="1">
        <v>0.66</v>
      </c>
      <c r="I4" s="4">
        <v>-0.25</v>
      </c>
    </row>
    <row r="5" spans="1:9" x14ac:dyDescent="0.2">
      <c r="A5" s="1">
        <v>10</v>
      </c>
      <c r="B5" s="2">
        <f>B4+EXP(-6*D5)+EXP(-7*D5)+EXP(-8*D5)+EXP(-9*D5)+EXP(-10*D5)</f>
        <v>9.0427138164855148</v>
      </c>
      <c r="C5" s="11">
        <v>7500000</v>
      </c>
      <c r="D5" s="3">
        <f t="shared" si="0"/>
        <v>0.02</v>
      </c>
      <c r="E5" s="3">
        <v>2.2000000000000002E-2</v>
      </c>
      <c r="F5" s="14">
        <f t="shared" si="2"/>
        <v>2.0000000000000018E-3</v>
      </c>
      <c r="G5" s="15">
        <f t="shared" si="1"/>
        <v>135640.70724728284</v>
      </c>
      <c r="H5" s="1">
        <v>0.5</v>
      </c>
      <c r="I5" s="4">
        <v>0</v>
      </c>
    </row>
    <row r="6" spans="1:9" x14ac:dyDescent="0.2">
      <c r="A6" s="5">
        <v>30</v>
      </c>
      <c r="B6" s="6">
        <f>B5+20*EXP(-20*D6)</f>
        <v>21.228960838760024</v>
      </c>
      <c r="C6" s="12">
        <v>-10000000</v>
      </c>
      <c r="D6" s="7">
        <f t="shared" si="0"/>
        <v>2.4771212547196626E-2</v>
      </c>
      <c r="E6" s="7">
        <v>2.724833380191629E-2</v>
      </c>
      <c r="F6" s="17">
        <f t="shared" si="2"/>
        <v>2.4771212547196643E-3</v>
      </c>
      <c r="G6" s="18">
        <f t="shared" si="1"/>
        <v>-525867.10109303845</v>
      </c>
      <c r="H6" s="1">
        <v>0.3</v>
      </c>
      <c r="I6" s="4">
        <v>0.25</v>
      </c>
    </row>
    <row r="7" spans="1:9" x14ac:dyDescent="0.2">
      <c r="G7" s="19">
        <f>SUM(G2:G6)</f>
        <v>-386213.74383683526</v>
      </c>
      <c r="H7" s="21">
        <f ca="1">2*(RAND()-0.5)</f>
        <v>0.1873814724771008</v>
      </c>
      <c r="I7" s="21">
        <f ca="1">2*(RAND()-0.5)</f>
        <v>-7.0268038634860197E-2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6"/>
  <sheetViews>
    <sheetView workbookViewId="0">
      <selection activeCell="D2" sqref="D2:D6"/>
    </sheetView>
  </sheetViews>
  <sheetFormatPr baseColWidth="10" defaultRowHeight="16" x14ac:dyDescent="0.2"/>
  <sheetData>
    <row r="1" spans="2:4" x14ac:dyDescent="0.2">
      <c r="B1" t="s">
        <v>11</v>
      </c>
    </row>
    <row r="2" spans="2:4" x14ac:dyDescent="0.2">
      <c r="B2">
        <f ca="1">data!D2+(data!H2*data!$H$7+data!I2*data!$I$7)/500</f>
        <v>1.0445030983589062E-2</v>
      </c>
      <c r="D2" s="3">
        <v>1.1000000000000001E-2</v>
      </c>
    </row>
    <row r="3" spans="2:4" x14ac:dyDescent="0.2">
      <c r="B3">
        <f ca="1">data!D3+(data!H3*data!$H$7+data!I3*data!$I$7)/500</f>
        <v>1.3344073194331608E-2</v>
      </c>
      <c r="D3" s="3">
        <v>1.4311329952303794E-2</v>
      </c>
    </row>
    <row r="4" spans="2:4" x14ac:dyDescent="0.2">
      <c r="B4">
        <f ca="1">data!D4+(data!H4*data!$H$7+data!I4*data!$I$7)/500</f>
        <v>1.7272177606347389E-2</v>
      </c>
      <c r="D4" s="3">
        <v>1.8688670047696206E-2</v>
      </c>
    </row>
    <row r="5" spans="2:4" x14ac:dyDescent="0.2">
      <c r="B5">
        <f ca="1">data!D5+(data!H5*data!$H$7+data!I5*data!$I$7)/500</f>
        <v>2.01873814724771E-2</v>
      </c>
      <c r="D5" s="3">
        <v>2.2000000000000002E-2</v>
      </c>
    </row>
    <row r="6" spans="2:4" x14ac:dyDescent="0.2">
      <c r="B6">
        <f ca="1">data!D6+(data!H6*data!$H$7+data!I6*data!$I$7)/500</f>
        <v>2.4848507411365454E-2</v>
      </c>
      <c r="D6" s="7">
        <v>2.724833380191629E-2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horizontal</vt:lpstr>
      <vt:lpstr>vertical</vt:lpstr>
      <vt:lpstr>picture</vt:lpstr>
      <vt:lpstr>data</vt:lpstr>
      <vt:lpstr>formulae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2015-07-19T15:45:27Z</dcterms:created>
  <dcterms:modified xsi:type="dcterms:W3CDTF">2015-07-26T15:16:09Z</dcterms:modified>
</cp:coreProperties>
</file>